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S Table" sheetId="1" state="visible" r:id="rId3"/>
    <sheet name="Bits vs Colours" sheetId="2" state="visible" r:id="rId4"/>
    <sheet name="CGA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<sst xmlns="http://schemas.openxmlformats.org/spreadsheetml/2006/main" count="42" uniqueCount="41">
  <si>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What LEVELS means in the dithering project</t>
  </si>
  <si>
    <t xml:space="preserve">LEVELS = number of distinct brightness values each channel may take, evenly spaced from 0 to 255.</t>
  </si>
  <si>
    <t xml:space="preserve">Blue numbers are inputs: change a LEVELS value and the other columns recalculate.</t>
  </si>
  <si>
    <t xml:space="preserve">LEVELS</t>
  </si>
  <si>
    <t xml:space="preserve">Grayscale shades
(COLOR = False)</t>
  </si>
  <si>
    <t xml:space="preserve">Colour palette size
(COLOR = True)</t>
  </si>
  <si>
    <t xml:space="preserve">Step between values
(0-255 scale)</t>
  </si>
  <si>
    <t xml:space="preserve">Equals CGA's 16 colours?</t>
  </si>
  <si>
    <t xml:space="preserve">Notes</t>
  </si>
  <si>
    <t xml:space="preserve">Black/white in grayscale; 8 colours in colour (2x2x2).</t>
  </si>
  <si>
    <t xml:space="preserve">Grays are 0, 127.5, 255 (rounded when drawn).</t>
  </si>
  <si>
    <t xml:space="preserve">A richer 64-colour look.</t>
  </si>
  <si>
    <t xml:space="preserve">The old 216-colour "web-safe" palette.</t>
  </si>
  <si>
    <t xml:space="preserve">Full 24-bit colour; no visible dithering.</t>
  </si>
  <si>
    <t xml:space="preserve">Colour palette size = LEVELS cubed, because red, green and blue each get their own set of levels. No whole-number LEVELS cubed equals 16 (2^3 = 8, 3^3 = 27).</t>
  </si>
  <si>
    <t xml:space="preserve">CGA 16-colour vs 16-bit colour: 16 colours is not 16 bits</t>
  </si>
  <si>
    <t xml:space="preserve">Blue numbers are inputs (bits per pixel). Colours = 2 ^ bits.</t>
  </si>
  <si>
    <t xml:space="preserve">Name</t>
  </si>
  <si>
    <t xml:space="preserve">Bits per pixel</t>
  </si>
  <si>
    <t xml:space="preserve">Distinct colours</t>
  </si>
  <si>
    <t xml:space="preserve">CGA palette (16 colours)</t>
  </si>
  <si>
    <t xml:space="preserve">RGBI: four on/off switches (red, green, blue, intensity).</t>
  </si>
  <si>
    <t xml:space="preserve">"16-bit" High Color</t>
  </si>
  <si>
    <t xml:space="preserve">Often 5 bits red, 6 green, 5 blue.</t>
  </si>
  <si>
    <t xml:space="preserve">24-bit True Color</t>
  </si>
  <si>
    <t xml:space="preserve">8 bits per channel; what a normal screen uses today.</t>
  </si>
  <si>
    <t xml:space="preserve">Check: High Color 5-6-5 split</t>
  </si>
  <si>
    <t xml:space="preserve">Matches 2^16 above (65,536).</t>
  </si>
  <si>
    <t xml:space="preserve">Can our code produce the CGA palette?</t>
  </si>
  <si>
    <t xml:space="preserve">Topic</t>
  </si>
  <si>
    <t xml:space="preserve">Detail</t>
  </si>
  <si>
    <t xml:space="preserve">CGA graphics modes</t>
  </si>
  <si>
    <t xml:space="preserve">Could show only 4 of the 16 colours at once, from fixed palettes. A big reason dithering was popular: mixing pixel patterns faked the missing colours.</t>
  </si>
  <si>
    <t xml:space="preserve">Closest match with LEVELS</t>
  </si>
  <si>
    <t xml:space="preserve">LEVELS = 2 with COLOR = True gives 8 colours, matching CGA's 8 colours without the intensity bit.</t>
  </si>
  <si>
    <t xml:space="preserve">Why 16 isn't reachable</t>
  </si>
  <si>
    <t xml:space="preserve">LEVELS only makes evenly spaced grids and nothing cubed equals 16.</t>
  </si>
  <si>
    <t xml:space="preserve">Uneven CGA palette</t>
  </si>
  <si>
    <t xml:space="preserve">The real palette isn't an even grid (e.g. dark yellow is wired to come out as brown).</t>
  </si>
  <si>
    <t xml:space="preserve">Next step</t>
  </si>
  <si>
    <t xml:space="preserve">Palette-based dithering: define an exact list of colours (CGA, Game Boy green, etc.) and snap each pixel to the nearest one. Only the 'snap to nearest' function in dither.py changes.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</si>
</sst>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2</v>
      </c>
      <c r="B6" s="6" t="n">
        <f aca="false">A6</f>
        <v>2</v>
      </c>
      <c r="C6" s="7" t="n">
        <f aca="false">A6^3</f>
        <v>8</v>
      </c>
      <c r="D6" s="8" t="n">
        <f aca="false">255/(A6-1)</f>
        <v>255</v>
      </c>
      <c r="E6" s="6" t="str">
        <f aca="false">IF(C6=16,"Yes","No")</f>
        <v>No</v>
      </c>
      <c r="F6" s="9" t="s">
        <v>9</v>
      </c>
    </row>
    <row r="7" customFormat="false" ht="15" hidden="false" customHeight="false" outlineLevel="0" collapsed="false">
      <c r="A7" s="5" t="n">
        <v>3</v>
      </c>
      <c r="B7" s="6" t="n">
        <f aca="false">A7</f>
        <v>3</v>
      </c>
      <c r="C7" s="7" t="n">
        <f aca="false">A7^3</f>
        <v>27</v>
      </c>
      <c r="D7" s="8" t="n">
        <f aca="false">255/(A7-1)</f>
        <v>127.5</v>
      </c>
      <c r="E7" s="6" t="str">
        <f aca="false">IF(C7=16,"Yes","No")</f>
        <v>No</v>
      </c>
      <c r="F7" s="9" t="s">
        <v>10</v>
      </c>
    </row>
    <row r="8" customFormat="false" ht="15" hidden="false" customHeight="false" outlineLevel="0" collapsed="false">
      <c r="A8" s="5" t="n">
        <v>4</v>
      </c>
      <c r="B8" s="6" t="n">
        <f aca="false">A8</f>
        <v>4</v>
      </c>
      <c r="C8" s="7" t="n">
        <f aca="false">A8^3</f>
        <v>64</v>
      </c>
      <c r="D8" s="8" t="n">
        <f aca="false">255/(A8-1)</f>
        <v>85</v>
      </c>
      <c r="E8" s="6" t="str">
        <f aca="false">IF(C8=16,"Yes","No")</f>
        <v>No</v>
      </c>
      <c r="F8" s="9" t="s">
        <v>11</v>
      </c>
    </row>
    <row r="9" customFormat="false" ht="15" hidden="false" customHeight="false" outlineLevel="0" collapsed="false">
      <c r="A9" s="5" t="n">
        <v>6</v>
      </c>
      <c r="B9" s="6" t="n">
        <f aca="false">A9</f>
        <v>6</v>
      </c>
      <c r="C9" s="7" t="n">
        <f aca="false">A9^3</f>
        <v>216</v>
      </c>
      <c r="D9" s="8" t="n">
        <f aca="false">255/(A9-1)</f>
        <v>51</v>
      </c>
      <c r="E9" s="6" t="str">
        <f aca="false">IF(C9=16,"Yes","No")</f>
        <v>No</v>
      </c>
      <c r="F9" s="9" t="s">
        <v>12</v>
      </c>
    </row>
    <row r="10" customFormat="false" ht="15" hidden="false" customHeight="false" outlineLevel="0" collapsed="false">
      <c r="A10" s="5" t="n">
        <v>256</v>
      </c>
      <c r="B10" s="6" t="n">
        <f aca="false">A10</f>
        <v>256</v>
      </c>
      <c r="C10" s="7" t="n">
        <f aca="false">A10^3</f>
        <v>16777216</v>
      </c>
      <c r="D10" s="8" t="n">
        <f aca="false">255/(A10-1)</f>
        <v>1</v>
      </c>
      <c r="E10" s="6" t="str">
        <f aca="false">IF(C10=16,"Yes","No")</f>
        <v>No</v>
      </c>
      <c r="F10" s="9" t="s">
        <v>13</v>
      </c>
    </row>
    <row r="12" customFormat="false" ht="15" hidden="false" customHeight="false" outlineLevel="0" collapsed="false">
      <c r="A12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8</v>
      </c>
    </row>
    <row r="5" customFormat="false" ht="15" hidden="false" customHeight="false" outlineLevel="0" collapsed="false">
      <c r="A5" s="9" t="s">
        <v>20</v>
      </c>
      <c r="B5" s="5" t="n">
        <v>4</v>
      </c>
      <c r="C5" s="7" t="n">
        <f aca="false">2^B5</f>
        <v>16</v>
      </c>
      <c r="D5" s="9" t="s">
        <v>21</v>
      </c>
    </row>
    <row r="6" customFormat="false" ht="15" hidden="false" customHeight="false" outlineLevel="0" collapsed="false">
      <c r="A6" s="9" t="s">
        <v>22</v>
      </c>
      <c r="B6" s="5" t="n">
        <v>16</v>
      </c>
      <c r="C6" s="7" t="n">
        <f aca="false">2^B6</f>
        <v>65536</v>
      </c>
      <c r="D6" s="9" t="s">
        <v>23</v>
      </c>
    </row>
    <row r="7" customFormat="false" ht="15" hidden="false" customHeight="false" outlineLevel="0" collapsed="false">
      <c r="A7" s="9" t="s">
        <v>24</v>
      </c>
      <c r="B7" s="5" t="n">
        <v>24</v>
      </c>
      <c r="C7" s="7" t="n">
        <f aca="false">2^B7</f>
        <v>16777216</v>
      </c>
      <c r="D7" s="9" t="s">
        <v>25</v>
      </c>
    </row>
    <row r="9" customFormat="false" ht="15" hidden="false" customHeight="false" outlineLevel="0" collapsed="false">
      <c r="A9" s="2" t="s">
        <v>26</v>
      </c>
      <c r="C9" s="10" t="n">
        <f aca="false">2^5*2^6*2^5</f>
        <v>65536</v>
      </c>
      <c r="D9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" t="s">
        <v>28</v>
      </c>
    </row>
    <row r="3" customFormat="false" ht="15" hidden="false" customHeight="false" outlineLevel="0" collapsed="false">
      <c r="A3" s="4" t="s">
        <v>29</v>
      </c>
      <c r="B3" s="4" t="s">
        <v>30</v>
      </c>
    </row>
    <row r="4" customFormat="false" ht="23.85" hidden="false" customHeight="false" outlineLevel="0" collapsed="false">
      <c r="A4" s="11" t="s">
        <v>31</v>
      </c>
      <c r="B4" s="9" t="s">
        <v>32</v>
      </c>
    </row>
    <row r="5" customFormat="false" ht="15" hidden="false" customHeight="false" outlineLevel="0" collapsed="false">
      <c r="A5" s="11" t="s">
        <v>33</v>
      </c>
      <c r="B5" s="9" t="s">
        <v>34</v>
      </c>
    </row>
    <row r="6" customFormat="false" ht="15" hidden="false" customHeight="false" outlineLevel="0" collapsed="false">
      <c r="A6" s="11" t="s">
        <v>35</v>
      </c>
      <c r="B6" s="9" t="s">
        <v>36</v>
      </c>
    </row>
    <row r="7" customFormat="false" ht="15" hidden="false" customHeight="false" outlineLevel="0" collapsed="false">
      <c r="A7" s="11" t="s">
        <v>37</v>
      </c>
      <c r="B7" s="9" t="s">
        <v>38</v>
      </c>
    </row>
    <row r="8" customFormat="false" ht="23.85" hidden="false" customHeight="false" outlineLevel="0" collapsed="false">
      <c r="A8" s="11" t="s">
        <v>39</v>
      </c>
      <c r="B8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2026-10-11T11:46:28Z</dcterms:created>
  <dc:creator>openpyxl</dc:creator>
  <dc:description/>
  <dc:language>en-US</dc:language>
  <cp:lastModifiedBy/>
  <dcterms:modified xsi:type="dcterms:W3CDTF">2026-10-11T11:46:28Z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